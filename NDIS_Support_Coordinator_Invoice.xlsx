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Service Activity Log" sheetId="2" state="visible" r:id="rId2"/>
    <sheet name="NDIS Rates &amp; Code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475569"/>
      <sz val="10"/>
    </font>
    <font>
      <name val="Segoe UI"/>
      <b val="1"/>
      <color rgb="000F172A"/>
      <sz val="10"/>
    </font>
    <font>
      <name val="Segoe UI"/>
      <color rgb="00475569"/>
      <sz val="9"/>
    </font>
    <font>
      <name val="Segoe UI"/>
      <color rgb="000F172A"/>
      <sz val="10"/>
    </font>
    <font>
      <name val="Segoe UI"/>
      <b val="1"/>
      <color rgb="001B365D"/>
      <sz val="10"/>
    </font>
    <font>
      <name val="Segoe UI"/>
      <b val="1"/>
      <color rgb="00FFFFFF"/>
      <sz val="10"/>
    </font>
    <font>
      <name val="Segoe UI"/>
      <b val="1"/>
      <color rgb="001B365D"/>
      <sz val="11"/>
    </font>
    <font>
      <name val="Segoe UI"/>
      <b val="1"/>
      <color rgb="001B365D"/>
      <sz val="13"/>
    </font>
    <font>
      <name val="Segoe UI"/>
      <i val="1"/>
      <color rgb="00475569"/>
      <sz val="8.5"/>
    </font>
  </fonts>
  <fills count="7">
    <fill>
      <patternFill/>
    </fill>
    <fill>
      <patternFill patternType="gray125"/>
    </fill>
    <fill>
      <patternFill patternType="solid">
        <fgColor rgb="00D9E2EC"/>
        <bgColor rgb="00D9E2EC"/>
      </patternFill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E8EEF5"/>
        <bgColor rgb="00E8EEF5"/>
      </patternFill>
    </fill>
  </fills>
  <borders count="8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B365D"/>
      </left>
      <right style="medium">
        <color rgb="001B365D"/>
      </right>
      <top style="thin">
        <color rgb="001B365D"/>
      </top>
      <bottom style="double">
        <color rgb="001B365D"/>
      </bottom>
    </border>
    <border>
      <left style="medium">
        <color rgb="001B365D"/>
      </left>
      <top style="thin">
        <color rgb="00CBD5E1"/>
      </top>
      <bottom style="double">
        <color rgb="001B365D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8" fillId="6" borderId="3" applyAlignment="1" pivotButton="0" quotePrefix="0" xfId="0">
      <alignment horizontal="right" vertical="center"/>
    </xf>
    <xf numFmtId="164" fontId="9" fillId="6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2" fontId="9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4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8" customWidth="1" min="3" max="3"/>
    <col width="12" customWidth="1" min="4" max="4"/>
    <col width="14" customWidth="1" min="5" max="5"/>
    <col width="14" customWidth="1" min="6" max="6"/>
    <col width="18" customWidth="1" min="7" max="7"/>
  </cols>
  <sheetData>
    <row r="2" ht="28" customHeight="1">
      <c r="A2" s="1" t="inlineStr">
        <is>
          <t>TAX INVOICE</t>
        </is>
      </c>
      <c r="E2" s="2" t="inlineStr">
        <is>
          <t>Invoice No:</t>
        </is>
      </c>
      <c r="F2" s="3" t="inlineStr">
        <is>
          <t>1</t>
        </is>
      </c>
    </row>
    <row r="3">
      <c r="A3" s="4" t="inlineStr">
        <is>
          <t>Support Coordination Contractor Services (NDIS)</t>
        </is>
      </c>
      <c r="E3" s="5" t="inlineStr">
        <is>
          <t>Invoice Date:</t>
        </is>
      </c>
      <c r="F3" s="6" t="inlineStr">
        <is>
          <t>12/09/2026</t>
        </is>
      </c>
    </row>
    <row r="4">
      <c r="E4" s="5" t="inlineStr">
        <is>
          <t>Due Date:</t>
        </is>
      </c>
      <c r="F4" s="6" t="inlineStr">
        <is>
          <t>26/09/2026</t>
        </is>
      </c>
    </row>
    <row r="5">
      <c r="A5" s="7" t="inlineStr">
        <is>
          <t>Contractor:</t>
        </is>
      </c>
      <c r="B5" s="8" t="inlineStr">
        <is>
          <t>Richa Patel</t>
        </is>
      </c>
      <c r="E5" s="5" t="inlineStr">
        <is>
          <t>Payment Terms:</t>
        </is>
      </c>
      <c r="F5" s="6" t="inlineStr">
        <is>
          <t>14 Days</t>
        </is>
      </c>
    </row>
    <row r="6">
      <c r="A6" s="7" t="inlineStr">
        <is>
          <t>ABN:</t>
        </is>
      </c>
      <c r="B6" s="9" t="inlineStr">
        <is>
          <t>88 475 952 165</t>
        </is>
      </c>
    </row>
    <row r="7">
      <c r="A7" s="7" t="inlineStr">
        <is>
          <t>Email:</t>
        </is>
      </c>
      <c r="B7" s="9" t="inlineStr">
        <is>
          <t>ripatel291202@gmail.com</t>
        </is>
      </c>
    </row>
    <row r="8">
      <c r="A8" s="7" t="inlineStr">
        <is>
          <t>Address:</t>
        </is>
      </c>
      <c r="B8" s="9" t="inlineStr">
        <is>
          <t>8/41 McMinn Street, Darwin City NT 0800</t>
        </is>
      </c>
    </row>
    <row r="10" ht="20" customHeight="1">
      <c r="A10" s="10" t="inlineStr">
        <is>
          <t xml:space="preserve">  CLIENT / BILL TO</t>
        </is>
      </c>
      <c r="B10" s="38" t="n"/>
      <c r="C10" s="39" t="n"/>
      <c r="D10" s="10" t="inlineStr">
        <is>
          <t xml:space="preserve">  NDIS PARTICIPANT DETAILS</t>
        </is>
      </c>
      <c r="E10" s="38" t="n"/>
      <c r="F10" s="38" t="n"/>
      <c r="G10" s="39" t="n"/>
    </row>
    <row r="11">
      <c r="A11" s="12" t="inlineStr">
        <is>
          <t>Organisation:</t>
        </is>
      </c>
      <c r="B11" s="13" t="inlineStr">
        <is>
          <t>Top End Support Collective</t>
        </is>
      </c>
      <c r="C11" s="39" t="n"/>
      <c r="D11" s="12" t="inlineStr">
        <is>
          <t>Participant Name:</t>
        </is>
      </c>
      <c r="E11" s="13" t="inlineStr">
        <is>
          <t>John Doe</t>
        </is>
      </c>
      <c r="F11" s="12" t="inlineStr">
        <is>
          <t>Funding Type:</t>
        </is>
      </c>
      <c r="G11" s="15" t="inlineStr">
        <is>
          <t>Plan-Managed</t>
        </is>
      </c>
    </row>
    <row r="12">
      <c r="A12" s="12" t="inlineStr">
        <is>
          <t>Attention:</t>
        </is>
      </c>
      <c r="B12" s="15" t="inlineStr">
        <is>
          <t>Accounts / Invoicing Department</t>
        </is>
      </c>
      <c r="C12" s="39" t="n"/>
      <c r="D12" s="12" t="inlineStr">
        <is>
          <t>NDIS Number:</t>
        </is>
      </c>
      <c r="E12" s="15" t="inlineStr">
        <is>
          <t>430 123 456</t>
        </is>
      </c>
      <c r="F12" s="12" t="inlineStr">
        <is>
          <t>Support Category:</t>
        </is>
      </c>
      <c r="G12" s="15" t="inlineStr">
        <is>
          <t>Level 2 - Coordination</t>
        </is>
      </c>
    </row>
    <row r="13">
      <c r="A13" s="12" t="inlineStr">
        <is>
          <t>Email:</t>
        </is>
      </c>
      <c r="B13" s="15" t="inlineStr">
        <is>
          <t>accounts@topendsupportcollective.com.au</t>
        </is>
      </c>
      <c r="C13" s="39" t="n"/>
      <c r="D13" s="12" t="inlineStr">
        <is>
          <t>Support Coordinator:</t>
        </is>
      </c>
      <c r="E13" s="15" t="inlineStr">
        <is>
          <t>[Your Name]</t>
        </is>
      </c>
      <c r="F13" s="12" t="inlineStr">
        <is>
          <t>Service Period:</t>
        </is>
      </c>
      <c r="G13" s="15" t="inlineStr">
        <is>
          <t>01/09/2026 - 12/09/2026</t>
        </is>
      </c>
    </row>
    <row r="14">
      <c r="A14" s="12" t="inlineStr">
        <is>
          <t>Address / Region:</t>
        </is>
      </c>
      <c r="B14" s="15" t="inlineStr">
        <is>
          <t>Darwin &amp; Top End Region, NT</t>
        </is>
      </c>
      <c r="C14" s="39" t="n"/>
      <c r="D14" s="12" t="inlineStr">
        <is>
          <t>Plan Dates:</t>
        </is>
      </c>
      <c r="E14" s="15" t="inlineStr">
        <is>
          <t>01/03/2026 - 28/02/2027</t>
        </is>
      </c>
      <c r="F14" s="12" t="inlineStr">
        <is>
          <t>Service Agreement:</t>
        </is>
      </c>
      <c r="G14" s="15" t="inlineStr">
        <is>
          <t>TOSC-SC-2026-042</t>
        </is>
      </c>
    </row>
    <row r="15">
      <c r="A15" s="12" t="inlineStr">
        <is>
          <t>Client ABN:</t>
        </is>
      </c>
      <c r="B15" s="15" t="inlineStr">
        <is>
          <t>[Client ABN if applicable]</t>
        </is>
      </c>
      <c r="C15" s="39" t="n"/>
      <c r="D15" s="12" t="inlineStr">
        <is>
          <t>Provider / Collective:</t>
        </is>
      </c>
      <c r="E15" s="15" t="inlineStr">
        <is>
          <t>Top End Support Collective</t>
        </is>
      </c>
      <c r="F15" s="12" t="inlineStr">
        <is>
          <t>GST Treatment:</t>
        </is>
      </c>
      <c r="G15" s="15" t="inlineStr">
        <is>
          <t>GST-Free (s38-38)</t>
        </is>
      </c>
    </row>
    <row r="17" ht="24" customHeight="1">
      <c r="A17" s="16" t="inlineStr">
        <is>
          <t>Date</t>
        </is>
      </c>
      <c r="B17" s="16" t="inlineStr">
        <is>
          <t>NDIS Item Code</t>
        </is>
      </c>
      <c r="C17" s="17" t="inlineStr">
        <is>
          <t>Support / Activity Description</t>
        </is>
      </c>
      <c r="D17" s="18" t="inlineStr">
        <is>
          <t>Hours</t>
        </is>
      </c>
      <c r="E17" s="18" t="inlineStr">
        <is>
          <t>Rate ($/hr)</t>
        </is>
      </c>
      <c r="F17" s="16" t="inlineStr">
        <is>
          <t>GST</t>
        </is>
      </c>
      <c r="G17" s="18" t="inlineStr">
        <is>
          <t>Total ($)</t>
        </is>
      </c>
    </row>
    <row r="18" ht="21" customHeight="1">
      <c r="A18" s="19" t="inlineStr">
        <is>
          <t>02/09/2026</t>
        </is>
      </c>
      <c r="B18" s="19" t="inlineStr">
        <is>
          <t>07_002_0106_8_3</t>
        </is>
      </c>
      <c r="C18" s="20" t="inlineStr">
        <is>
          <t>Initial participant consultation, goal mapping &amp; support needs intake</t>
        </is>
      </c>
      <c r="D18" s="21" t="n">
        <v>2</v>
      </c>
      <c r="E18" s="22" t="n">
        <v>45.28</v>
      </c>
      <c r="F18" s="19" t="inlineStr">
        <is>
          <t>GST Free</t>
        </is>
      </c>
      <c r="G18" s="22">
        <f>IF(OR(D18="",E18=""),0,ROUND(D18*E18,2))</f>
        <v/>
      </c>
    </row>
    <row r="19" ht="21" customHeight="1">
      <c r="A19" s="23" t="inlineStr">
        <is>
          <t>04/09/2026</t>
        </is>
      </c>
      <c r="B19" s="23" t="inlineStr">
        <is>
          <t>07_002_0106_8_3</t>
        </is>
      </c>
      <c r="C19" s="24" t="inlineStr">
        <is>
          <t>Liaising with Occupational Therapist &amp; Speech Pathologist regarding assessments</t>
        </is>
      </c>
      <c r="D19" s="25" t="n">
        <v>1.5</v>
      </c>
      <c r="E19" s="26" t="n">
        <v>45.28</v>
      </c>
      <c r="F19" s="23" t="inlineStr">
        <is>
          <t>GST Free</t>
        </is>
      </c>
      <c r="G19" s="26">
        <f>IF(OR(D19="",E19=""),0,ROUND(D19*E19,2))</f>
        <v/>
      </c>
    </row>
    <row r="20" ht="21" customHeight="1">
      <c r="A20" s="19" t="inlineStr">
        <is>
          <t>07/09/2026</t>
        </is>
      </c>
      <c r="B20" s="19" t="inlineStr">
        <is>
          <t>07_002_0106_8_3</t>
        </is>
      </c>
      <c r="C20" s="20" t="inlineStr">
        <is>
          <t>Drafting Service Agreements &amp; connecting with Core support worker providers</t>
        </is>
      </c>
      <c r="D20" s="21" t="n">
        <v>2.25</v>
      </c>
      <c r="E20" s="22" t="n">
        <v>45.28</v>
      </c>
      <c r="F20" s="19" t="inlineStr">
        <is>
          <t>GST Free</t>
        </is>
      </c>
      <c r="G20" s="22">
        <f>IF(OR(D20="",E20=""),0,ROUND(D20*E20,2))</f>
        <v/>
      </c>
    </row>
    <row r="21" ht="21" customHeight="1">
      <c r="A21" s="23" t="inlineStr">
        <is>
          <t>09/09/2026</t>
        </is>
      </c>
      <c r="B21" s="23" t="inlineStr">
        <is>
          <t>07_002_0106_8_3</t>
        </is>
      </c>
      <c r="C21" s="24" t="inlineStr">
        <is>
          <t>Reviewing budget allocations across Core, Capacity Building and Capital</t>
        </is>
      </c>
      <c r="D21" s="25" t="n">
        <v>1</v>
      </c>
      <c r="E21" s="26" t="n">
        <v>45.28</v>
      </c>
      <c r="F21" s="23" t="inlineStr">
        <is>
          <t>GST Free</t>
        </is>
      </c>
      <c r="G21" s="26">
        <f>IF(OR(D21="",E21=""),0,ROUND(D21*E21,2))</f>
        <v/>
      </c>
    </row>
    <row r="22" ht="21" customHeight="1">
      <c r="A22" s="19" t="inlineStr">
        <is>
          <t>11/09/2026</t>
        </is>
      </c>
      <c r="B22" s="19" t="inlineStr">
        <is>
          <t>07_799_0106_8_3</t>
        </is>
      </c>
      <c r="C22" s="20" t="inlineStr">
        <is>
          <t>Provider Travel - Travel to participant residence in Darwin region</t>
        </is>
      </c>
      <c r="D22" s="21" t="n">
        <v>0.5</v>
      </c>
      <c r="E22" s="22" t="n">
        <v>45.28</v>
      </c>
      <c r="F22" s="19" t="inlineStr">
        <is>
          <t>GST Free</t>
        </is>
      </c>
      <c r="G22" s="22">
        <f>IF(OR(D22="",E22=""),0,ROUND(D22*E22,2))</f>
        <v/>
      </c>
    </row>
    <row r="23" ht="21" customHeight="1">
      <c r="A23" s="23" t="inlineStr">
        <is>
          <t>12/09/2026</t>
        </is>
      </c>
      <c r="B23" s="23" t="inlineStr">
        <is>
          <t>07_002_0106_8_3</t>
        </is>
      </c>
      <c r="C23" s="24" t="inlineStr">
        <is>
          <t>Bi-monthly implementation review meeting with participant &amp; support network</t>
        </is>
      </c>
      <c r="D23" s="25" t="n">
        <v>1.25</v>
      </c>
      <c r="E23" s="26" t="n">
        <v>45.28</v>
      </c>
      <c r="F23" s="23" t="inlineStr">
        <is>
          <t>GST Free</t>
        </is>
      </c>
      <c r="G23" s="26">
        <f>IF(OR(D23="",E23=""),0,ROUND(D23*E23,2))</f>
        <v/>
      </c>
    </row>
    <row r="24" ht="21" customHeight="1">
      <c r="A24" s="19" t="inlineStr"/>
      <c r="B24" s="19" t="inlineStr"/>
      <c r="C24" s="20" t="inlineStr"/>
      <c r="D24" s="21" t="n"/>
      <c r="E24" s="22" t="n"/>
      <c r="F24" s="19" t="inlineStr"/>
      <c r="G24" s="22">
        <f>IF(OR(D24="",E24=""),0,ROUND(D24*E24,2))</f>
        <v/>
      </c>
    </row>
    <row r="25" ht="21" customHeight="1">
      <c r="A25" s="23" t="inlineStr"/>
      <c r="B25" s="23" t="inlineStr"/>
      <c r="C25" s="24" t="inlineStr"/>
      <c r="D25" s="25" t="n"/>
      <c r="E25" s="26" t="n"/>
      <c r="F25" s="23" t="inlineStr"/>
      <c r="G25" s="26">
        <f>IF(OR(D25="",E25=""),0,ROUND(D25*E25,2))</f>
        <v/>
      </c>
    </row>
    <row r="26" ht="21" customHeight="1">
      <c r="A26" s="19" t="inlineStr"/>
      <c r="B26" s="19" t="inlineStr"/>
      <c r="C26" s="20" t="inlineStr"/>
      <c r="D26" s="21" t="n"/>
      <c r="E26" s="22" t="n"/>
      <c r="F26" s="19" t="inlineStr"/>
      <c r="G26" s="22">
        <f>IF(OR(D26="",E26=""),0,ROUND(D26*E26,2))</f>
        <v/>
      </c>
    </row>
    <row r="27" ht="21" customHeight="1">
      <c r="A27" s="23" t="inlineStr"/>
      <c r="B27" s="23" t="inlineStr"/>
      <c r="C27" s="24" t="inlineStr"/>
      <c r="D27" s="25" t="n"/>
      <c r="E27" s="26" t="n"/>
      <c r="F27" s="23" t="inlineStr"/>
      <c r="G27" s="26">
        <f>IF(OR(D27="",E27=""),0,ROUND(D27*E27,2))</f>
        <v/>
      </c>
    </row>
    <row r="28" ht="21" customHeight="1">
      <c r="A28" s="19" t="inlineStr"/>
      <c r="B28" s="19" t="inlineStr"/>
      <c r="C28" s="20" t="inlineStr"/>
      <c r="D28" s="21" t="n"/>
      <c r="E28" s="22" t="n"/>
      <c r="F28" s="19" t="inlineStr"/>
      <c r="G28" s="22">
        <f>IF(OR(D28="",E28=""),0,ROUND(D28*E28,2))</f>
        <v/>
      </c>
    </row>
    <row r="29" ht="21" customHeight="1">
      <c r="A29" s="23" t="inlineStr"/>
      <c r="B29" s="23" t="inlineStr"/>
      <c r="C29" s="24" t="inlineStr"/>
      <c r="D29" s="25" t="n"/>
      <c r="E29" s="26" t="n"/>
      <c r="F29" s="23" t="inlineStr"/>
      <c r="G29" s="26">
        <f>IF(OR(D29="",E29=""),0,ROUND(D29*E29,2))</f>
        <v/>
      </c>
    </row>
    <row r="31">
      <c r="A31" s="10" t="inlineStr">
        <is>
          <t xml:space="preserve">  REMITTANCE / PAYMENT DETAILS</t>
        </is>
      </c>
      <c r="B31" s="38" t="n"/>
      <c r="C31" s="38" t="n"/>
      <c r="D31" s="39" t="n"/>
      <c r="F31" s="2" t="inlineStr">
        <is>
          <t>Total Hours:</t>
        </is>
      </c>
      <c r="G31" s="27">
        <f>SUM(D18:D29)</f>
        <v/>
      </c>
    </row>
    <row r="32">
      <c r="A32" s="12" t="inlineStr">
        <is>
          <t>Account Name:</t>
        </is>
      </c>
      <c r="B32" s="13" t="inlineStr">
        <is>
          <t>Richa Patel</t>
        </is>
      </c>
      <c r="C32" s="38" t="n"/>
      <c r="D32" s="39" t="n"/>
      <c r="F32" s="28" t="inlineStr">
        <is>
          <t>Subtotal:</t>
        </is>
      </c>
      <c r="G32" s="22">
        <f>SUM(G18:G29)</f>
        <v/>
      </c>
    </row>
    <row r="33">
      <c r="A33" s="12" t="inlineStr">
        <is>
          <t>Bank Name:</t>
        </is>
      </c>
      <c r="B33" s="15" t="inlineStr">
        <is>
          <t>Westpac Bank</t>
        </is>
      </c>
      <c r="C33" s="38" t="n"/>
      <c r="D33" s="39" t="n"/>
      <c r="F33" s="28" t="inlineStr">
        <is>
          <t>GST (0.0%):</t>
        </is>
      </c>
      <c r="G33" s="22" t="n">
        <v>0</v>
      </c>
    </row>
    <row r="34">
      <c r="A34" s="12" t="inlineStr">
        <is>
          <t>BSB Number:</t>
        </is>
      </c>
      <c r="B34" s="15" t="inlineStr">
        <is>
          <t>732-273</t>
        </is>
      </c>
      <c r="C34" s="38" t="n"/>
      <c r="D34" s="39" t="n"/>
      <c r="F34" s="29" t="inlineStr">
        <is>
          <t>TOTAL AMOUNT DUE:</t>
        </is>
      </c>
      <c r="G34" s="30">
        <f>G32+G33</f>
        <v/>
      </c>
    </row>
    <row r="35">
      <c r="A35" s="12" t="inlineStr">
        <is>
          <t>Account Number:</t>
        </is>
      </c>
      <c r="B35" s="15" t="inlineStr">
        <is>
          <t>502413</t>
        </is>
      </c>
      <c r="C35" s="38" t="n"/>
      <c r="D35" s="39" t="n"/>
    </row>
    <row r="36">
      <c r="A36" s="12" t="inlineStr">
        <is>
          <t>Payment Reference:</t>
        </is>
      </c>
      <c r="B36" s="13" t="inlineStr">
        <is>
          <t>INV-2026-001 (Participant Surname)</t>
        </is>
      </c>
      <c r="C36" s="38" t="n"/>
      <c r="D36" s="39" t="n"/>
    </row>
    <row r="37">
      <c r="A37" s="12" t="inlineStr">
        <is>
          <t>Remittance Email:</t>
        </is>
      </c>
      <c r="B37" s="15" t="inlineStr">
        <is>
          <t>contractor@example.com</t>
        </is>
      </c>
      <c r="C37" s="38" t="n"/>
      <c r="D37" s="39" t="n"/>
    </row>
    <row r="39">
      <c r="A39" s="31" t="inlineStr">
        <is>
          <t>NDIS Compliance Declaration: Supports provided in accordance with the NDIS Price Guide, participant service agreement, and quality standards.</t>
        </is>
      </c>
    </row>
    <row r="40">
      <c r="A40" s="31" t="inlineStr">
        <is>
          <t>Tax Note: NDIS funded supports are GST-free under section 38-38 of the A New Tax System (Goods and Services Tax) Act 1999.</t>
        </is>
      </c>
    </row>
  </sheetData>
  <mergeCells count="18">
    <mergeCell ref="A10:C10"/>
    <mergeCell ref="B13:C13"/>
    <mergeCell ref="B33:D33"/>
    <mergeCell ref="B36:D36"/>
    <mergeCell ref="A31:D31"/>
    <mergeCell ref="B15:C15"/>
    <mergeCell ref="B37:D37"/>
    <mergeCell ref="B11:C11"/>
    <mergeCell ref="A40:G40"/>
    <mergeCell ref="A39:G39"/>
    <mergeCell ref="A3:D3"/>
    <mergeCell ref="B32:D32"/>
    <mergeCell ref="B35:D35"/>
    <mergeCell ref="B14:C14"/>
    <mergeCell ref="A2:D2"/>
    <mergeCell ref="D10:G10"/>
    <mergeCell ref="B34:D3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8" customWidth="1" min="5" max="5"/>
    <col width="28" customWidth="1" min="6" max="6"/>
    <col width="55" customWidth="1" min="7" max="7"/>
    <col width="15" customWidth="1" min="8" max="8"/>
  </cols>
  <sheetData>
    <row r="2">
      <c r="A2" s="1" t="inlineStr">
        <is>
          <t>SUPPORT COORDINATOR SERVICE ACTIVITY &amp; TIMESHEET LOG</t>
        </is>
      </c>
    </row>
    <row r="3">
      <c r="A3" s="4" t="inlineStr">
        <is>
          <t>Client: Top End Support Collective | Participant: John Doe (NDIS: 430 123 456)</t>
        </is>
      </c>
    </row>
    <row r="5" ht="24" customHeight="1">
      <c r="A5" s="16" t="inlineStr">
        <is>
          <t>Date</t>
        </is>
      </c>
      <c r="B5" s="16" t="inlineStr">
        <is>
          <t>Start Time</t>
        </is>
      </c>
      <c r="C5" s="16" t="inlineStr">
        <is>
          <t>End Time</t>
        </is>
      </c>
      <c r="D5" s="18" t="inlineStr">
        <is>
          <t>Duration (Hrs)</t>
        </is>
      </c>
      <c r="E5" s="16" t="inlineStr">
        <is>
          <t>NDIS Item Code</t>
        </is>
      </c>
      <c r="F5" s="17" t="inlineStr">
        <is>
          <t>Support Category / Delivery Mode</t>
        </is>
      </c>
      <c r="G5" s="17" t="inlineStr">
        <is>
          <t>Detailed Case Notes &amp; Activity Evidence</t>
        </is>
      </c>
      <c r="H5" s="16" t="inlineStr">
        <is>
          <t>Billed on Inv?</t>
        </is>
      </c>
    </row>
    <row r="6">
      <c r="A6" s="19" t="inlineStr">
        <is>
          <t>02/09/2026</t>
        </is>
      </c>
      <c r="B6" s="19" t="inlineStr">
        <is>
          <t>10:00 AM</t>
        </is>
      </c>
      <c r="C6" s="19" t="inlineStr">
        <is>
          <t>12:00 PM</t>
        </is>
      </c>
      <c r="D6" s="21" t="n">
        <v>2</v>
      </c>
      <c r="E6" s="19" t="inlineStr">
        <is>
          <t>07_002_0106_8_3</t>
        </is>
      </c>
      <c r="F6" s="32" t="inlineStr">
        <is>
          <t>Face-to-Face / Intake</t>
        </is>
      </c>
      <c r="G6" s="20" t="inlineStr">
        <is>
          <t>Initial face-to-face meeting with participant and guardian. Reviewed current plan goals, identified urgent allied health therapy requirements, and established communication preferences.</t>
        </is>
      </c>
      <c r="H6" s="19" t="inlineStr">
        <is>
          <t>Yes</t>
        </is>
      </c>
    </row>
    <row r="7">
      <c r="A7" s="23" t="inlineStr">
        <is>
          <t>04/09/2026</t>
        </is>
      </c>
      <c r="B7" s="23" t="inlineStr">
        <is>
          <t>02:00 PM</t>
        </is>
      </c>
      <c r="C7" s="23" t="inlineStr">
        <is>
          <t>03:30 PM</t>
        </is>
      </c>
      <c r="D7" s="25" t="n">
        <v>1.5</v>
      </c>
      <c r="E7" s="23" t="inlineStr">
        <is>
          <t>07_002_0106_8_3</t>
        </is>
      </c>
      <c r="F7" s="33" t="inlineStr">
        <is>
          <t>Non-Face-to-Face / Allied Health</t>
        </is>
      </c>
      <c r="G7" s="24" t="inlineStr">
        <is>
          <t>Phone conferences with local Darwin OT clinic and speech pathologist. Sent referral packets and confirmed intake schedule for functional capacity assessment.</t>
        </is>
      </c>
      <c r="H7" s="23" t="inlineStr">
        <is>
          <t>Yes</t>
        </is>
      </c>
    </row>
    <row r="8">
      <c r="A8" s="19" t="inlineStr">
        <is>
          <t>07/09/2026</t>
        </is>
      </c>
      <c r="B8" s="19" t="inlineStr">
        <is>
          <t>09:30 AM</t>
        </is>
      </c>
      <c r="C8" s="19" t="inlineStr">
        <is>
          <t>11:45 AM</t>
        </is>
      </c>
      <c r="D8" s="21" t="n">
        <v>2.25</v>
      </c>
      <c r="E8" s="19" t="inlineStr">
        <is>
          <t>07_002_0106_8_3</t>
        </is>
      </c>
      <c r="F8" s="32" t="inlineStr">
        <is>
          <t>Non-Face-to-Face / Service Agreements</t>
        </is>
      </c>
      <c r="G8" s="20" t="inlineStr">
        <is>
          <t>Drafted and reviewed service agreements with support worker agency. Verified schedule of supports aligns with participant budget allocations.</t>
        </is>
      </c>
      <c r="H8" s="19" t="inlineStr">
        <is>
          <t>Yes</t>
        </is>
      </c>
    </row>
    <row r="9">
      <c r="A9" s="23" t="inlineStr">
        <is>
          <t>09/09/2026</t>
        </is>
      </c>
      <c r="B9" s="23" t="inlineStr">
        <is>
          <t>01:15 PM</t>
        </is>
      </c>
      <c r="C9" s="23" t="inlineStr">
        <is>
          <t>02:15 PM</t>
        </is>
      </c>
      <c r="D9" s="25" t="n">
        <v>1</v>
      </c>
      <c r="E9" s="23" t="inlineStr">
        <is>
          <t>07_002_0106_8_3</t>
        </is>
      </c>
      <c r="F9" s="33" t="inlineStr">
        <is>
          <t>Non-Face-to-Face / Budget Review</t>
        </is>
      </c>
      <c r="G9" s="24" t="inlineStr">
        <is>
          <t>Detailed budget reconciliation across Core and Capacity Building categories to prevent over-utilization prior to plan review.</t>
        </is>
      </c>
      <c r="H9" s="23" t="inlineStr">
        <is>
          <t>Yes</t>
        </is>
      </c>
    </row>
    <row r="10">
      <c r="A10" s="19" t="inlineStr">
        <is>
          <t>11/09/2026</t>
        </is>
      </c>
      <c r="B10" s="19" t="inlineStr">
        <is>
          <t>09:00 AM</t>
        </is>
      </c>
      <c r="C10" s="19" t="inlineStr">
        <is>
          <t>09:30 AM</t>
        </is>
      </c>
      <c r="D10" s="21" t="n">
        <v>0.5</v>
      </c>
      <c r="E10" s="19" t="inlineStr">
        <is>
          <t>07_799_0106_8_3</t>
        </is>
      </c>
      <c r="F10" s="32" t="inlineStr">
        <is>
          <t>Provider Travel / Community</t>
        </is>
      </c>
      <c r="G10" s="20" t="inlineStr">
        <is>
          <t>Travel time to participant home in Darwin for bi-monthly catch up.</t>
        </is>
      </c>
      <c r="H10" s="19" t="inlineStr">
        <is>
          <t>Yes</t>
        </is>
      </c>
    </row>
    <row r="11">
      <c r="A11" s="23" t="inlineStr">
        <is>
          <t>12/09/2026</t>
        </is>
      </c>
      <c r="B11" s="23" t="inlineStr">
        <is>
          <t>09:30 AM</t>
        </is>
      </c>
      <c r="C11" s="23" t="inlineStr">
        <is>
          <t>10:45 AM</t>
        </is>
      </c>
      <c r="D11" s="25" t="n">
        <v>1.25</v>
      </c>
      <c r="E11" s="23" t="inlineStr">
        <is>
          <t>07_002_0106_8_3</t>
        </is>
      </c>
      <c r="F11" s="33" t="inlineStr">
        <is>
          <t>Face-to-Face / Progress Review</t>
        </is>
      </c>
      <c r="G11" s="24" t="inlineStr">
        <is>
          <t>Progress meeting with participant to review support worker roster satisfaction and prepare documentation for upcoming annual review.</t>
        </is>
      </c>
      <c r="H11" s="23" t="inlineStr">
        <is>
          <t>Yes</t>
        </is>
      </c>
    </row>
    <row r="12">
      <c r="A12" s="19" t="inlineStr"/>
      <c r="B12" s="19" t="inlineStr"/>
      <c r="C12" s="19" t="inlineStr"/>
      <c r="D12" s="21" t="n"/>
      <c r="E12" s="19" t="inlineStr"/>
      <c r="F12" s="32" t="inlineStr"/>
      <c r="G12" s="20" t="inlineStr"/>
      <c r="H12" s="19" t="inlineStr"/>
    </row>
    <row r="13">
      <c r="A13" s="23" t="inlineStr"/>
      <c r="B13" s="23" t="inlineStr"/>
      <c r="C13" s="23" t="inlineStr"/>
      <c r="D13" s="25" t="n"/>
      <c r="E13" s="23" t="inlineStr"/>
      <c r="F13" s="33" t="inlineStr"/>
      <c r="G13" s="24" t="inlineStr"/>
      <c r="H13" s="23" t="inlineStr"/>
    </row>
    <row r="14">
      <c r="A14" s="19" t="inlineStr"/>
      <c r="B14" s="19" t="inlineStr"/>
      <c r="C14" s="19" t="inlineStr"/>
      <c r="D14" s="21" t="n"/>
      <c r="E14" s="19" t="inlineStr"/>
      <c r="F14" s="32" t="inlineStr"/>
      <c r="G14" s="20" t="inlineStr"/>
      <c r="H14" s="19" t="inlineStr"/>
    </row>
    <row r="15">
      <c r="A15" s="23" t="inlineStr"/>
      <c r="B15" s="23" t="inlineStr"/>
      <c r="C15" s="23" t="inlineStr"/>
      <c r="D15" s="25" t="n"/>
      <c r="E15" s="23" t="inlineStr"/>
      <c r="F15" s="33" t="inlineStr"/>
      <c r="G15" s="24" t="inlineStr"/>
      <c r="H15" s="23" t="inlineStr"/>
    </row>
    <row r="16">
      <c r="A16" s="19" t="inlineStr"/>
      <c r="B16" s="19" t="inlineStr"/>
      <c r="C16" s="19" t="inlineStr"/>
      <c r="D16" s="21" t="n"/>
      <c r="E16" s="19" t="inlineStr"/>
      <c r="F16" s="32" t="inlineStr"/>
      <c r="G16" s="20" t="inlineStr"/>
      <c r="H16" s="19" t="inlineStr"/>
    </row>
    <row r="17">
      <c r="A17" s="23" t="inlineStr"/>
      <c r="B17" s="23" t="inlineStr"/>
      <c r="C17" s="23" t="inlineStr"/>
      <c r="D17" s="25" t="n"/>
      <c r="E17" s="23" t="inlineStr"/>
      <c r="F17" s="33" t="inlineStr"/>
      <c r="G17" s="24" t="inlineStr"/>
      <c r="H17" s="23" t="inlineStr"/>
    </row>
    <row r="18">
      <c r="A18" s="19" t="inlineStr"/>
      <c r="B18" s="19" t="inlineStr"/>
      <c r="C18" s="19" t="inlineStr"/>
      <c r="D18" s="21" t="n"/>
      <c r="E18" s="19" t="inlineStr"/>
      <c r="F18" s="32" t="inlineStr"/>
      <c r="G18" s="20" t="inlineStr"/>
      <c r="H18" s="19" t="inlineStr"/>
    </row>
    <row r="19">
      <c r="A19" s="23" t="inlineStr"/>
      <c r="B19" s="23" t="inlineStr"/>
      <c r="C19" s="23" t="inlineStr"/>
      <c r="D19" s="25" t="n"/>
      <c r="E19" s="23" t="inlineStr"/>
      <c r="F19" s="33" t="inlineStr"/>
      <c r="G19" s="24" t="inlineStr"/>
      <c r="H19" s="23" t="inlineStr"/>
    </row>
    <row r="21">
      <c r="C21" s="2" t="inlineStr">
        <is>
          <t>Total Logged Hours:</t>
        </is>
      </c>
      <c r="D21" s="34">
        <f>SUM(D6:D19)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22" customWidth="1" min="4" max="4"/>
    <col width="22" customWidth="1" min="5" max="5"/>
  </cols>
  <sheetData>
    <row r="2">
      <c r="A2" s="1" t="inlineStr">
        <is>
          <t>NDIS SUPPORT COORDINATION REFERENCE GUIDE</t>
        </is>
      </c>
    </row>
    <row r="3">
      <c r="A3" s="4" t="inlineStr">
        <is>
          <t>Reference rates and item codes under the NDIS Pricing Arrangements and Price Limits</t>
        </is>
      </c>
    </row>
    <row r="5">
      <c r="A5" s="16" t="inlineStr">
        <is>
          <t>NDIS Support Item Code</t>
        </is>
      </c>
      <c r="B5" s="17" t="inlineStr">
        <is>
          <t>Support Item Name &amp; Description</t>
        </is>
      </c>
      <c r="C5" s="18" t="inlineStr">
        <is>
          <t>National Price Limit</t>
        </is>
      </c>
      <c r="D5" s="18" t="inlineStr">
        <is>
          <t>Remote Limit (NT)</t>
        </is>
      </c>
      <c r="E5" s="18" t="inlineStr">
        <is>
          <t>Very Remote Limit (NT)</t>
        </is>
      </c>
    </row>
    <row r="6">
      <c r="A6" s="19" t="inlineStr">
        <is>
          <t>07_001_0106_8_3</t>
        </is>
      </c>
      <c r="B6" s="32" t="inlineStr">
        <is>
          <t>Level 1: Support Connection</t>
        </is>
      </c>
      <c r="C6" s="35" t="inlineStr">
        <is>
          <t>$74.63 / hr</t>
        </is>
      </c>
      <c r="D6" s="35" t="inlineStr">
        <is>
          <t>$104.48 / hr</t>
        </is>
      </c>
      <c r="E6" s="35" t="inlineStr">
        <is>
          <t>$111.95 / hr</t>
        </is>
      </c>
    </row>
    <row r="7">
      <c r="A7" s="23" t="inlineStr">
        <is>
          <t>07_002_0106_8_3</t>
        </is>
      </c>
      <c r="B7" s="33" t="inlineStr">
        <is>
          <t>Level 2: Coordination of Supports (Standard)</t>
        </is>
      </c>
      <c r="C7" s="36" t="inlineStr">
        <is>
          <t>$100.14 / hr</t>
        </is>
      </c>
      <c r="D7" s="36" t="inlineStr">
        <is>
          <t>$140.20 / hr</t>
        </is>
      </c>
      <c r="E7" s="36" t="inlineStr">
        <is>
          <t>$150.21 / hr</t>
        </is>
      </c>
    </row>
    <row r="8">
      <c r="A8" s="19" t="inlineStr">
        <is>
          <t>07_004_0132_8_3</t>
        </is>
      </c>
      <c r="B8" s="32" t="inlineStr">
        <is>
          <t>Level 3: Specialist Support Coordination</t>
        </is>
      </c>
      <c r="C8" s="35" t="inlineStr">
        <is>
          <t>$190.54 / hr</t>
        </is>
      </c>
      <c r="D8" s="35" t="inlineStr">
        <is>
          <t>$266.76 / hr</t>
        </is>
      </c>
      <c r="E8" s="35" t="inlineStr">
        <is>
          <t>$285.81 / hr</t>
        </is>
      </c>
    </row>
    <row r="9">
      <c r="A9" s="23" t="inlineStr">
        <is>
          <t>07_799_0106_8_3</t>
        </is>
      </c>
      <c r="B9" s="33" t="inlineStr">
        <is>
          <t>Provider Travel - Support Coordination</t>
        </is>
      </c>
      <c r="C9" s="36" t="inlineStr">
        <is>
          <t>$100.14 / hr</t>
        </is>
      </c>
      <c r="D9" s="36" t="inlineStr">
        <is>
          <t>Per travel rules</t>
        </is>
      </c>
      <c r="E9" s="36" t="inlineStr">
        <is>
          <t>Per travel rules</t>
        </is>
      </c>
    </row>
    <row r="10">
      <c r="A10" s="19" t="inlineStr">
        <is>
          <t>07_003_0117_8_3</t>
        </is>
      </c>
      <c r="B10" s="32" t="inlineStr">
        <is>
          <t>Capacity Building Support Coordination</t>
        </is>
      </c>
      <c r="C10" s="35" t="inlineStr">
        <is>
          <t>$100.14 / hr</t>
        </is>
      </c>
      <c r="D10" s="35" t="inlineStr">
        <is>
          <t>$140.20 / hr</t>
        </is>
      </c>
      <c r="E10" s="35" t="inlineStr">
        <is>
          <t>$150.21 / hr</t>
        </is>
      </c>
    </row>
    <row r="12">
      <c r="A12" s="37" t="inlineStr">
        <is>
          <t>Important Guidance for Top End Support Collective Contractors:</t>
        </is>
      </c>
    </row>
    <row r="13">
      <c r="A13" s="6" t="inlineStr">
        <is>
          <t>1. Remote &amp; Very Remote loadings: Depending on the participant's registered location in the Northern Territory (e.g. Darwin vs Remote communities), higher price caps may apply under NDIS rules.</t>
        </is>
      </c>
    </row>
    <row r="14">
      <c r="A14" s="6" t="inlineStr">
        <is>
          <t>2. GST Treatment: Support Coordination is an eligible NDIS support under Section 38-38 of the GST Act and is GST-Free when supplied to an NDIS participant.</t>
        </is>
      </c>
    </row>
    <row r="15">
      <c r="A15" s="6" t="inlineStr">
        <is>
          <t>3. Timesheets &amp; Case Notes: Maintain corresponding entries in the 'Service Activity Log' tab to substantiate all invoiced hours in the event of an audit or provider query.</t>
        </is>
      </c>
    </row>
    <row r="16">
      <c r="A16" s="6" t="inlineStr">
        <is>
          <t>4. Contractor Terms: Ensure your invoices reflect your agreed contractor subcontract rate with Top End Support Collective.</t>
        </is>
      </c>
    </row>
  </sheetData>
  <mergeCells count="7">
    <mergeCell ref="A12:E12"/>
    <mergeCell ref="A2:E2"/>
    <mergeCell ref="A16:E16"/>
    <mergeCell ref="A15:E15"/>
    <mergeCell ref="A13:E13"/>
    <mergeCell ref="A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2026-09-11T15:06:50Z</dcterms:created>
  <dcterms:modified xsi:type="dcterms:W3CDTF">2026-09-11T15:59:30Z</dcterms:modified>
</cp:coreProperties>
</file>